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esktop\"/>
    </mc:Choice>
  </mc:AlternateContent>
  <xr:revisionPtr revIDLastSave="0" documentId="13_ncr:1_{19A0B2F2-245E-4315-AD8D-4793B1915034}" xr6:coauthVersionLast="41" xr6:coauthVersionMax="41" xr10:uidLastSave="{00000000-0000-0000-0000-000000000000}"/>
  <bookViews>
    <workbookView xWindow="-120" yWindow="-120" windowWidth="24945" windowHeight="14445" firstSheet="2" activeTab="2" xr2:uid="{29636398-172A-4720-B087-8D83985BFA1A}"/>
  </bookViews>
  <sheets>
    <sheet name="CDATACONNECTION" sheetId="4" state="hidden" r:id="rId1"/>
    <sheet name="CDATAWORKSHEETCDATA0" sheetId="6" state="hidden" r:id="rId2"/>
    <sheet name="テンプレート_Macro" sheetId="1" r:id="rId3"/>
    <sheet name="CDATAWORKSHEETCDATA1" sheetId="8" state="hidden" r:id="rId4"/>
  </sheets>
  <definedNames>
    <definedName name="_xlnm.Print_Area" localSheetId="2">テンプレート_Macro!$A$4:$P$40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6" i="1" l="1"/>
  <c r="N27" i="1" l="1"/>
  <c r="N26" i="1"/>
  <c r="N25" i="1"/>
  <c r="N24" i="1"/>
  <c r="N23" i="1"/>
  <c r="N22" i="1"/>
  <c r="N21" i="1"/>
  <c r="N20" i="1"/>
  <c r="N19" i="1"/>
  <c r="N18" i="1"/>
  <c r="J15" i="1" l="1"/>
</calcChain>
</file>

<file path=xl/sharedStrings.xml><?xml version="1.0" encoding="utf-8"?>
<sst xmlns="http://schemas.openxmlformats.org/spreadsheetml/2006/main" count="174" uniqueCount="82">
  <si>
    <t>見積番号</t>
    <rPh sb="0" eb="2">
      <t>ミツモリ</t>
    </rPh>
    <rPh sb="2" eb="4">
      <t>バンゴウ</t>
    </rPh>
    <phoneticPr fontId="2"/>
  </si>
  <si>
    <t>御中</t>
    <rPh sb="0" eb="2">
      <t>オンチュウ</t>
    </rPh>
    <phoneticPr fontId="2"/>
  </si>
  <si>
    <t>有効期限</t>
    <rPh sb="0" eb="2">
      <t>ユウコウ</t>
    </rPh>
    <rPh sb="2" eb="4">
      <t>キゲン</t>
    </rPh>
    <phoneticPr fontId="2"/>
  </si>
  <si>
    <t>012345</t>
  </si>
  <si>
    <t>備考</t>
    <rPh sb="0" eb="2">
      <t>ビコウ</t>
    </rPh>
    <phoneticPr fontId="2"/>
  </si>
  <si>
    <t>見積日</t>
    <phoneticPr fontId="2"/>
  </si>
  <si>
    <t>見積書</t>
    <phoneticPr fontId="2"/>
  </si>
  <si>
    <t>型番</t>
    <rPh sb="0" eb="2">
      <t>カタバン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</si>
  <si>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</si>
  <si>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</si>
  <si>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</si>
  <si>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小計</t>
    <rPh sb="0" eb="2">
      <t>ショウケイ</t>
    </rPh>
    <phoneticPr fontId="2"/>
  </si>
  <si>
    <t>シーデータサンプル株式会社</t>
    <rPh sb="9" eb="13">
      <t>カブシキガイシャ</t>
    </rPh>
    <phoneticPr fontId="2"/>
  </si>
  <si>
    <t>担当：</t>
    <rPh sb="0" eb="2">
      <t>タントウ</t>
    </rPh>
    <phoneticPr fontId="2"/>
  </si>
  <si>
    <t>仙台ビル8F</t>
    <rPh sb="0" eb="2">
      <t>センダイ</t>
    </rPh>
    <phoneticPr fontId="2"/>
  </si>
  <si>
    <t>シーデータ太郎</t>
    <rPh sb="5" eb="7">
      <t>タロウ</t>
    </rPh>
    <phoneticPr fontId="2"/>
  </si>
  <si>
    <t>〒 宮城県仙台市青葉区99丁目99-9</t>
    <rPh sb="2" eb="5">
      <t>ミヤギケン</t>
    </rPh>
    <rPh sb="5" eb="8">
      <t>センダイシ</t>
    </rPh>
    <rPh sb="8" eb="11">
      <t>アオバク</t>
    </rPh>
    <rPh sb="13" eb="15">
      <t>チョウメ</t>
    </rPh>
    <phoneticPr fontId="2"/>
  </si>
  <si>
    <t>合計金額</t>
    <rPh sb="0" eb="2">
      <t>ゴウケイ</t>
    </rPh>
    <rPh sb="2" eb="4">
      <t>キンガク</t>
    </rPh>
    <phoneticPr fontId="2"/>
  </si>
  <si>
    <t>出精値引き:10%</t>
  </si>
  <si>
    <t>変更しないでください。</t>
  </si>
  <si>
    <t>カウント：</t>
  </si>
  <si>
    <t>接続名：</t>
  </si>
  <si>
    <t>接続値：</t>
  </si>
  <si>
    <t>1.0.0.40</t>
  </si>
  <si>
    <t>RecordId</t>
    <phoneticPr fontId="2"/>
  </si>
  <si>
    <t>Revision</t>
    <phoneticPr fontId="2"/>
  </si>
  <si>
    <t>AppId</t>
    <phoneticPr fontId="2"/>
  </si>
  <si>
    <t>見積番号</t>
    <phoneticPr fontId="2"/>
  </si>
  <si>
    <t>更新者 Code</t>
    <phoneticPr fontId="2"/>
  </si>
  <si>
    <t>更新者 Name</t>
    <phoneticPr fontId="2"/>
  </si>
  <si>
    <t>作成者 Code</t>
    <phoneticPr fontId="2"/>
  </si>
  <si>
    <t>作成者 Name</t>
    <phoneticPr fontId="2"/>
  </si>
  <si>
    <t>宛名</t>
    <phoneticPr fontId="2"/>
  </si>
  <si>
    <t>更新日時</t>
    <phoneticPr fontId="2"/>
  </si>
  <si>
    <t>合計金額</t>
    <phoneticPr fontId="2"/>
  </si>
  <si>
    <t>備考</t>
    <phoneticPr fontId="2"/>
  </si>
  <si>
    <t>作成日時</t>
    <phoneticPr fontId="2"/>
  </si>
  <si>
    <t>cdatademo</t>
  </si>
  <si>
    <t>戸田ネットソリューションズ(株)</t>
  </si>
  <si>
    <t>90000</t>
  </si>
  <si>
    <t>kintone ODBC Driver</t>
  </si>
  <si>
    <t>K001</t>
  </si>
  <si>
    <t>60000</t>
  </si>
  <si>
    <t>Garoon ODBC Driver</t>
  </si>
  <si>
    <t>G001</t>
  </si>
  <si>
    <t>System.Int32</t>
    <phoneticPr fontId="2"/>
  </si>
  <si>
    <t>System.String</t>
    <phoneticPr fontId="2"/>
  </si>
  <si>
    <t>System.DateTime</t>
    <phoneticPr fontId="2"/>
  </si>
  <si>
    <t>True</t>
    <phoneticPr fontId="2"/>
  </si>
  <si>
    <t>False</t>
    <phoneticPr fontId="2"/>
  </si>
  <si>
    <t>見積番号をセット　→　</t>
    <rPh sb="0" eb="2">
      <t>ミツモリ</t>
    </rPh>
    <rPh sb="2" eb="4">
      <t>バンゴウ</t>
    </rPh>
    <phoneticPr fontId="2"/>
  </si>
  <si>
    <t>CDATA0</t>
    <phoneticPr fontId="2"/>
  </si>
  <si>
    <t>SELECT *,[RecordId] AS [Lookup] FROM [CData].[Kintone].[見積書]</t>
    <phoneticPr fontId="2"/>
  </si>
  <si>
    <t>Lookup</t>
    <phoneticPr fontId="2"/>
  </si>
  <si>
    <t>CDATA1</t>
    <phoneticPr fontId="2"/>
  </si>
  <si>
    <t>振込先</t>
    <rPh sb="0" eb="3">
      <t>フリコミサキ</t>
    </rPh>
    <phoneticPr fontId="2"/>
  </si>
  <si>
    <t>お振込み手数料は御社ご負担にてお願いいたします。</t>
    <rPh sb="1" eb="3">
      <t>フリコ</t>
    </rPh>
    <rPh sb="4" eb="7">
      <t>テスウリョウ</t>
    </rPh>
    <rPh sb="8" eb="10">
      <t>オンシャ</t>
    </rPh>
    <rPh sb="11" eb="13">
      <t>フタン</t>
    </rPh>
    <rPh sb="16" eb="17">
      <t>ネガ</t>
    </rPh>
    <phoneticPr fontId="2"/>
  </si>
  <si>
    <t>○○銀行</t>
    <rPh sb="2" eb="4">
      <t>ギンコウ</t>
    </rPh>
    <phoneticPr fontId="2"/>
  </si>
  <si>
    <t>●●支店</t>
    <rPh sb="2" eb="4">
      <t>シテン</t>
    </rPh>
    <phoneticPr fontId="2"/>
  </si>
  <si>
    <t>（普通）9999999</t>
    <rPh sb="1" eb="3">
      <t>フツウ</t>
    </rPh>
    <phoneticPr fontId="2"/>
  </si>
  <si>
    <t>System.Double</t>
    <phoneticPr fontId="2"/>
  </si>
  <si>
    <t>見積書Id</t>
    <phoneticPr fontId="2"/>
  </si>
  <si>
    <t>Id</t>
    <phoneticPr fontId="2"/>
  </si>
  <si>
    <t>小計</t>
    <phoneticPr fontId="2"/>
  </si>
  <si>
    <t>数量</t>
    <phoneticPr fontId="2"/>
  </si>
  <si>
    <t>単価</t>
    <phoneticPr fontId="2"/>
  </si>
  <si>
    <t>商品名</t>
    <phoneticPr fontId="2"/>
  </si>
  <si>
    <t>型番</t>
    <phoneticPr fontId="2"/>
  </si>
  <si>
    <t>0123457</t>
  </si>
  <si>
    <t xml:space="preserve">	 中丸建設</t>
  </si>
  <si>
    <t>012346</t>
  </si>
  <si>
    <t>ミヤタシステムズ</t>
  </si>
  <si>
    <t>100000</t>
  </si>
  <si>
    <t>250000</t>
  </si>
  <si>
    <t>50000</t>
  </si>
  <si>
    <t>Garoon ADO.NET Provider</t>
  </si>
  <si>
    <t>G003</t>
  </si>
  <si>
    <t>kintone JDBC Driver</t>
  </si>
  <si>
    <t>K002</t>
  </si>
  <si>
    <t>kintone ADO.NET Provider</t>
  </si>
  <si>
    <t>K003</t>
  </si>
  <si>
    <t>SELECT * FROM [CData].[Kintone].[見積書_見積明細]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</si>
</sst>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11]ggge&quot;年&quot;m&quot;月&quot;d&quot;日&quot;;@"/>
  </numFmts>
  <fonts count="1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0"/>
      <color theme="1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20"/>
      <color theme="1"/>
      <name val="游ゴシック"/>
      <family val="3"/>
      <charset val="128"/>
      <scheme val="minor"/>
    </font>
    <font>
      <sz val="24"/>
      <color theme="1"/>
      <name val="游ゴシック"/>
      <family val="3"/>
      <charset val="128"/>
      <scheme val="minor"/>
    </font>
    <font>
      <sz val="20"/>
      <color rgb="FFFF0000"/>
      <name val="游ゴシック"/>
      <family val="2"/>
      <charset val="128"/>
      <scheme val="minor"/>
    </font>
    <font>
      <sz val="20"/>
      <color rgb="FFFF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6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Alignment="1">
      <alignment horizontal="left" vertical="top"/>
    </xf>
    <xf numFmtId="0" fontId="0" fillId="0" borderId="5" xfId="0" applyFill="1" applyBorder="1" applyAlignment="1">
      <alignment horizontal="left" vertical="top"/>
    </xf>
    <xf numFmtId="0" fontId="0" fillId="0" borderId="0" xfId="0" applyFill="1">
      <alignment vertical="center"/>
    </xf>
    <xf numFmtId="0" fontId="0" fillId="0" borderId="0" xfId="0" applyFill="1" applyBorder="1" applyAlignment="1">
      <alignment vertical="center" wrapText="1"/>
    </xf>
    <xf numFmtId="0" fontId="5" fillId="0" borderId="0" xfId="0" applyFont="1" applyFill="1" applyBorder="1">
      <alignment vertical="center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shrinkToFit="1"/>
    </xf>
    <xf numFmtId="0" fontId="4" fillId="0" borderId="12" xfId="0" applyFont="1" applyFill="1" applyBorder="1" applyAlignment="1">
      <alignment horizontal="left" vertical="center"/>
    </xf>
    <xf numFmtId="0" fontId="4" fillId="0" borderId="13" xfId="0" applyFont="1" applyFill="1" applyBorder="1" applyAlignment="1">
      <alignment horizontal="center" vertical="center" shrinkToFit="1"/>
    </xf>
    <xf numFmtId="0" fontId="4" fillId="0" borderId="0" xfId="0" applyFont="1" applyFill="1" applyBorder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49" fontId="0" fillId="2" borderId="9" xfId="0" applyNumberFormat="1" applyFill="1" applyBorder="1" applyAlignment="1">
      <alignment horizontal="center" vertical="center"/>
    </xf>
    <xf numFmtId="49" fontId="0" fillId="2" borderId="10" xfId="0" applyNumberFormat="1" applyFill="1" applyBorder="1" applyAlignment="1">
      <alignment horizontal="center" vertical="center"/>
    </xf>
    <xf numFmtId="49" fontId="0" fillId="2" borderId="11" xfId="0" applyNumberFormat="1" applyFill="1" applyBorder="1" applyAlignment="1">
      <alignment horizontal="center" vertical="center"/>
    </xf>
    <xf numFmtId="176" fontId="0" fillId="3" borderId="0" xfId="0" applyNumberFormat="1" applyFill="1" applyBorder="1" applyAlignment="1">
      <alignment horizontal="center" vertical="center"/>
    </xf>
    <xf numFmtId="49" fontId="0" fillId="2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76" fontId="0" fillId="2" borderId="0" xfId="0" applyNumberForma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38" fontId="0" fillId="3" borderId="12" xfId="2" applyFont="1" applyFill="1" applyBorder="1" applyAlignment="1">
      <alignment horizontal="right" vertical="center"/>
    </xf>
    <xf numFmtId="38" fontId="0" fillId="3" borderId="14" xfId="2" applyFont="1" applyFill="1" applyBorder="1" applyAlignment="1">
      <alignment horizontal="right" vertical="center"/>
    </xf>
    <xf numFmtId="0" fontId="5" fillId="2" borderId="0" xfId="0" applyFont="1" applyFill="1" applyBorder="1" applyAlignment="1">
      <alignment horizontal="center" vertical="center" shrinkToFit="1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38" fontId="10" fillId="3" borderId="12" xfId="2" applyFont="1" applyFill="1" applyBorder="1" applyAlignment="1">
      <alignment horizontal="right" vertical="center"/>
    </xf>
    <xf numFmtId="38" fontId="10" fillId="3" borderId="13" xfId="2" applyFont="1" applyFill="1" applyBorder="1" applyAlignment="1">
      <alignment horizontal="right" vertical="center"/>
    </xf>
    <xf numFmtId="38" fontId="10" fillId="3" borderId="14" xfId="2" applyFont="1" applyFill="1" applyBorder="1" applyAlignment="1">
      <alignment horizontal="right" vertical="center"/>
    </xf>
    <xf numFmtId="0" fontId="0" fillId="2" borderId="12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top" wrapText="1"/>
    </xf>
    <xf numFmtId="0" fontId="0" fillId="2" borderId="2" xfId="0" applyFill="1" applyBorder="1" applyAlignment="1">
      <alignment horizontal="left" vertical="top" wrapText="1"/>
    </xf>
    <xf numFmtId="0" fontId="0" fillId="2" borderId="3" xfId="0" applyFill="1" applyBorder="1" applyAlignment="1">
      <alignment horizontal="left" vertical="top" wrapText="1"/>
    </xf>
    <xf numFmtId="0" fontId="0" fillId="2" borderId="4" xfId="0" applyFill="1" applyBorder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5" xfId="0" applyFill="1" applyBorder="1" applyAlignment="1">
      <alignment horizontal="left" vertical="top" wrapText="1"/>
    </xf>
    <xf numFmtId="0" fontId="0" fillId="2" borderId="4" xfId="0" applyFill="1" applyBorder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2" borderId="5" xfId="0" applyFill="1" applyBorder="1" applyAlignment="1">
      <alignment horizontal="left" vertical="top"/>
    </xf>
  </cellXfs>
  <cellStyles count="4">
    <cellStyle name="CDataDirtyStyle" xfId="3" xr:uid="{5CCB0E97-CF5D-4CBB-9EA4-A5F6A37C6AE7}"/>
    <cellStyle name="CDataNormalStyle" xfId="1" xr:uid="{CB5B2AE3-5BBE-40DC-858D-2773042470A1}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16</xdr:col>
          <xdr:colOff>9525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251461</xdr:colOff>
      <xdr:row>3</xdr:row>
      <xdr:rowOff>172553</xdr:rowOff>
    </xdr:from>
    <xdr:to>
      <xdr:col>4</xdr:col>
      <xdr:colOff>53341</xdr:colOff>
      <xdr:row>5</xdr:row>
      <xdr:rowOff>20084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461" y="1315553"/>
          <a:ext cx="1242060" cy="289491"/>
        </a:xfrm>
        <a:prstGeom prst="rect">
          <a:avLst/>
        </a:prstGeom>
      </xdr:spPr>
    </xdr:pic>
    <xdr:clientData/>
  </xdr:twoCellAnchor>
  <xdr:twoCellAnchor editAs="oneCell">
    <xdr:from>
      <xdr:col>13</xdr:col>
      <xdr:colOff>276225</xdr:colOff>
      <xdr:row>7</xdr:row>
      <xdr:rowOff>276225</xdr:rowOff>
    </xdr:from>
    <xdr:to>
      <xdr:col>15</xdr:col>
      <xdr:colOff>325755</xdr:colOff>
      <xdr:row>10</xdr:row>
      <xdr:rowOff>211455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81575" y="2047875"/>
          <a:ext cx="773430" cy="77343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58F2A-161E-45D9-A6F5-F72C2BF0C0BA}">
  <sheetPr codeName="Sheet2"/>
  <dimension ref="A1:J3"/>
  <sheetViews>
    <sheetView workbookViewId="0"/>
  </sheetViews>
  <sheetFormatPr defaultRowHeight="18.75" x14ac:dyDescent="0.4"/>
  <sheetData>
    <row r="1" spans="1:10" ht="33" x14ac:dyDescent="0.4">
      <c r="A1" s="23" t="s">
        <v>19</v>
      </c>
      <c r="B1" s="24"/>
      <c r="C1" s="24"/>
      <c r="D1" s="24"/>
      <c r="E1" s="24"/>
      <c r="F1" s="24"/>
      <c r="G1" s="24"/>
      <c r="H1" s="24"/>
      <c r="I1" s="24"/>
      <c r="J1" s="24"/>
    </row>
    <row r="2" spans="1:10" x14ac:dyDescent="0.4">
      <c r="A2" t="s">
        <v>20</v>
      </c>
    </row>
    <row r="3" spans="1:10" x14ac:dyDescent="0.4">
      <c r="A3" t="s">
        <v>21</v>
      </c>
      <c r="B3" t="s">
        <v>22</v>
      </c>
    </row>
  </sheetData>
  <mergeCells count="1">
    <mergeCell ref="A1:J1"/>
  </mergeCells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D7C7-6D6E-484E-B85E-5D4BDF0493D4}">
  <sheetPr codeName="Sheet3"/>
  <dimension ref="A1:O11"/>
  <sheetViews>
    <sheetView workbookViewId="0"/>
  </sheetViews>
  <sheetFormatPr defaultRowHeight="18.75" x14ac:dyDescent="0.4"/>
  <sheetData>
    <row r="1" spans="1:15" ht="33" x14ac:dyDescent="0.4">
      <c r="A1" s="23" t="s">
        <v>19</v>
      </c>
      <c r="B1" s="24"/>
      <c r="C1" s="24"/>
      <c r="D1" s="24"/>
      <c r="E1" s="24"/>
      <c r="F1" s="24"/>
      <c r="G1" s="24"/>
      <c r="H1" s="24"/>
      <c r="I1" s="24"/>
      <c r="J1" s="24"/>
    </row>
    <row r="2" spans="1:15" x14ac:dyDescent="0.4">
      <c r="A2" t="s">
        <v>51</v>
      </c>
      <c r="C2" t="s">
        <v>23</v>
      </c>
    </row>
    <row r="3" spans="1:15" x14ac:dyDescent="0.4">
      <c r="A3" t="s">
        <v>52</v>
      </c>
      <c r="C3">
        <v>0</v>
      </c>
    </row>
    <row r="4" spans="1:15" x14ac:dyDescent="0.4">
      <c r="A4">
        <v>15</v>
      </c>
    </row>
    <row r="5" spans="1:15" x14ac:dyDescent="0.4">
      <c r="A5" t="s">
        <v>45</v>
      </c>
      <c r="B5" t="s">
        <v>45</v>
      </c>
      <c r="C5" t="s">
        <v>45</v>
      </c>
      <c r="D5" t="s">
        <v>46</v>
      </c>
      <c r="E5" t="s">
        <v>46</v>
      </c>
      <c r="F5" t="s">
        <v>46</v>
      </c>
      <c r="G5" t="s">
        <v>46</v>
      </c>
      <c r="H5" t="s">
        <v>46</v>
      </c>
      <c r="I5" t="s">
        <v>46</v>
      </c>
      <c r="J5" t="s">
        <v>47</v>
      </c>
      <c r="K5" t="s">
        <v>46</v>
      </c>
      <c r="L5" t="s">
        <v>46</v>
      </c>
      <c r="M5" t="s">
        <v>47</v>
      </c>
      <c r="N5" t="s">
        <v>47</v>
      </c>
      <c r="O5" t="s">
        <v>45</v>
      </c>
    </row>
    <row r="6" spans="1:15" x14ac:dyDescent="0.4">
      <c r="A6" t="s">
        <v>48</v>
      </c>
      <c r="B6" t="s">
        <v>49</v>
      </c>
      <c r="C6" t="s">
        <v>48</v>
      </c>
      <c r="D6" t="s">
        <v>49</v>
      </c>
      <c r="E6" t="s">
        <v>48</v>
      </c>
      <c r="F6" t="s">
        <v>48</v>
      </c>
      <c r="G6" t="s">
        <v>48</v>
      </c>
      <c r="H6" t="s">
        <v>48</v>
      </c>
      <c r="I6" t="s">
        <v>49</v>
      </c>
      <c r="J6" t="s">
        <v>48</v>
      </c>
      <c r="K6" t="s">
        <v>48</v>
      </c>
      <c r="L6" t="s">
        <v>49</v>
      </c>
      <c r="M6" t="s">
        <v>48</v>
      </c>
      <c r="N6" t="s">
        <v>49</v>
      </c>
      <c r="O6" t="s">
        <v>48</v>
      </c>
    </row>
    <row r="7" spans="1:15" x14ac:dyDescent="0.4">
      <c r="A7" t="s">
        <v>48</v>
      </c>
      <c r="B7" t="s">
        <v>49</v>
      </c>
      <c r="C7" t="s">
        <v>49</v>
      </c>
      <c r="D7" t="s">
        <v>49</v>
      </c>
      <c r="E7" t="s">
        <v>49</v>
      </c>
      <c r="F7" t="s">
        <v>49</v>
      </c>
      <c r="G7" t="s">
        <v>49</v>
      </c>
      <c r="H7" t="s">
        <v>49</v>
      </c>
      <c r="I7" t="s">
        <v>49</v>
      </c>
      <c r="J7" t="s">
        <v>49</v>
      </c>
      <c r="K7" t="s">
        <v>49</v>
      </c>
      <c r="L7" t="s">
        <v>49</v>
      </c>
      <c r="M7" t="s">
        <v>49</v>
      </c>
      <c r="N7" t="s">
        <v>49</v>
      </c>
      <c r="O7" t="s">
        <v>48</v>
      </c>
    </row>
    <row r="8" spans="1:15" x14ac:dyDescent="0.4">
      <c r="A8" s="9" t="s">
        <v>24</v>
      </c>
      <c r="B8" s="9" t="s">
        <v>25</v>
      </c>
      <c r="C8" s="9" t="s">
        <v>26</v>
      </c>
      <c r="D8" s="9" t="s">
        <v>27</v>
      </c>
      <c r="E8" s="9" t="s">
        <v>28</v>
      </c>
      <c r="F8" s="9" t="s">
        <v>29</v>
      </c>
      <c r="G8" s="9" t="s">
        <v>30</v>
      </c>
      <c r="H8" s="9" t="s">
        <v>31</v>
      </c>
      <c r="I8" s="9" t="s">
        <v>32</v>
      </c>
      <c r="J8" s="9" t="s">
        <v>33</v>
      </c>
      <c r="K8" s="9" t="s">
        <v>34</v>
      </c>
      <c r="L8" s="9" t="s">
        <v>35</v>
      </c>
      <c r="M8" s="9" t="s">
        <v>36</v>
      </c>
      <c r="N8" s="9" t="s">
        <v>5</v>
      </c>
      <c r="O8" s="9" t="s">
        <v>53</v>
      </c>
    </row>
    <row r="9" spans="1:15" x14ac:dyDescent="0.4">
      <c r="A9" s="9">
        <v>3</v>
      </c>
      <c r="B9" s="9">
        <v>2</v>
      </c>
      <c r="C9" s="9">
        <v>714</v>
      </c>
      <c r="D9" s="9" t="s">
        <v>68</v>
      </c>
      <c r="E9" s="9" t="s">
        <v>37</v>
      </c>
      <c r="F9" s="9" t="s">
        <v>37</v>
      </c>
      <c r="G9" s="9" t="s">
        <v>37</v>
      </c>
      <c r="H9" s="9" t="s">
        <v>37</v>
      </c>
      <c r="I9" s="9" t="s">
        <v>69</v>
      </c>
      <c r="J9" s="9">
        <v>43803.62777777778</v>
      </c>
      <c r="K9" s="9" t="s">
        <v>42</v>
      </c>
      <c r="L9" s="9"/>
      <c r="M9" s="9">
        <v>43803.627083333333</v>
      </c>
      <c r="N9" s="9">
        <v>43800</v>
      </c>
      <c r="O9" s="9">
        <v>3</v>
      </c>
    </row>
    <row r="10" spans="1:15" x14ac:dyDescent="0.4">
      <c r="A10" s="9">
        <v>2</v>
      </c>
      <c r="B10" s="9">
        <v>1</v>
      </c>
      <c r="C10" s="9">
        <v>714</v>
      </c>
      <c r="D10" s="9" t="s">
        <v>70</v>
      </c>
      <c r="E10" s="9" t="s">
        <v>37</v>
      </c>
      <c r="F10" s="9" t="s">
        <v>37</v>
      </c>
      <c r="G10" s="9" t="s">
        <v>37</v>
      </c>
      <c r="H10" s="9" t="s">
        <v>37</v>
      </c>
      <c r="I10" s="9" t="s">
        <v>71</v>
      </c>
      <c r="J10" s="9">
        <v>43803.627083333333</v>
      </c>
      <c r="K10" s="9" t="s">
        <v>72</v>
      </c>
      <c r="L10" s="9"/>
      <c r="M10" s="9">
        <v>43803.627083333333</v>
      </c>
      <c r="N10" s="9">
        <v>43803</v>
      </c>
      <c r="O10" s="9">
        <v>2</v>
      </c>
    </row>
    <row r="11" spans="1:15" x14ac:dyDescent="0.4">
      <c r="A11" s="9">
        <v>1</v>
      </c>
      <c r="B11" s="9">
        <v>4</v>
      </c>
      <c r="C11" s="9">
        <v>714</v>
      </c>
      <c r="D11" s="9" t="s">
        <v>3</v>
      </c>
      <c r="E11" s="9" t="s">
        <v>37</v>
      </c>
      <c r="F11" s="9" t="s">
        <v>37</v>
      </c>
      <c r="G11" s="9" t="s">
        <v>37</v>
      </c>
      <c r="H11" s="9" t="s">
        <v>37</v>
      </c>
      <c r="I11" s="9" t="s">
        <v>38</v>
      </c>
      <c r="J11" s="9">
        <v>43802.870833333334</v>
      </c>
      <c r="K11" s="9" t="s">
        <v>73</v>
      </c>
      <c r="L11" s="9" t="s">
        <v>18</v>
      </c>
      <c r="M11" s="9">
        <v>43796.909722222219</v>
      </c>
      <c r="N11" s="9">
        <v>43796</v>
      </c>
      <c r="O11" s="9">
        <v>1</v>
      </c>
    </row>
  </sheetData>
  <mergeCells count="1">
    <mergeCell ref="A1:J1"/>
  </mergeCells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D81BD-901A-436E-BFD4-49D1A17EB07B}">
  <sheetPr codeName="Sheet1"/>
  <dimension ref="A1:P46"/>
  <sheetViews>
    <sheetView tabSelected="1" view="pageBreakPreview" zoomScale="130" zoomScaleNormal="60" zoomScaleSheetLayoutView="130" workbookViewId="0">
      <selection activeCell="F2" sqref="F2:K2"/>
    </sheetView>
  </sheetViews>
  <sheetFormatPr defaultColWidth="4.75" defaultRowHeight="30" customHeight="1" x14ac:dyDescent="0.4"/>
  <cols>
    <col min="13" max="13" width="4.75" customWidth="1"/>
    <col min="16" max="16" width="4.75" customWidth="1"/>
  </cols>
  <sheetData>
    <row r="1" spans="1:16" ht="4.9000000000000004" customHeight="1" thickBot="1" x14ac:dyDescent="0.45"/>
    <row r="2" spans="1:16" ht="19.5" thickBot="1" x14ac:dyDescent="0.45">
      <c r="A2" t="s">
        <v>50</v>
      </c>
      <c r="F2" s="25"/>
      <c r="G2" s="26"/>
      <c r="H2" s="26"/>
      <c r="I2" s="26"/>
      <c r="J2" s="26"/>
      <c r="K2" s="27"/>
      <c r="O2">
        <v>1</v>
      </c>
    </row>
    <row r="3" spans="1:16" ht="5.45" customHeight="1" x14ac:dyDescent="0.4"/>
    <row r="4" spans="1:16" ht="18.75" x14ac:dyDescent="0.4">
      <c r="A4" s="10"/>
      <c r="B4" s="10"/>
      <c r="C4" s="10"/>
      <c r="D4" s="10"/>
      <c r="E4" s="10"/>
      <c r="F4" s="32" t="s">
        <v>6</v>
      </c>
      <c r="G4" s="32"/>
      <c r="H4" s="32"/>
      <c r="I4" s="32"/>
      <c r="J4" s="32"/>
      <c r="K4" s="30" t="s">
        <v>0</v>
      </c>
      <c r="L4" s="30"/>
      <c r="M4" s="29"/>
      <c r="N4" s="29"/>
      <c r="O4" s="29"/>
      <c r="P4" s="29"/>
    </row>
    <row r="5" spans="1:16" ht="18.75" x14ac:dyDescent="0.4">
      <c r="A5" s="13"/>
      <c r="B5" s="13"/>
      <c r="C5" s="13"/>
      <c r="D5" s="13"/>
      <c r="E5" s="13"/>
      <c r="F5" s="32"/>
      <c r="G5" s="32"/>
      <c r="H5" s="32"/>
      <c r="I5" s="32"/>
      <c r="J5" s="32"/>
      <c r="K5" s="13" t="s">
        <v>5</v>
      </c>
      <c r="L5" s="13"/>
      <c r="M5" s="31"/>
      <c r="N5" s="31"/>
      <c r="O5" s="31"/>
      <c r="P5" s="31"/>
    </row>
    <row r="6" spans="1:16" ht="18.75" x14ac:dyDescent="0.4">
      <c r="A6" s="13"/>
      <c r="B6" s="13"/>
      <c r="C6" s="13"/>
      <c r="D6" s="13"/>
      <c r="E6" s="13"/>
      <c r="F6" s="32"/>
      <c r="G6" s="32"/>
      <c r="H6" s="32"/>
      <c r="I6" s="32"/>
      <c r="J6" s="32"/>
      <c r="K6" s="30" t="s">
        <v>2</v>
      </c>
      <c r="L6" s="30"/>
      <c r="M6" s="28">
        <f>EDATE(M5,1)</f>
        <v>31</v>
      </c>
      <c r="N6" s="28"/>
      <c r="O6" s="28"/>
      <c r="P6" s="28"/>
    </row>
    <row r="7" spans="1:16" ht="30" customHeight="1" x14ac:dyDescent="0.4">
      <c r="A7" s="14"/>
      <c r="B7" s="14"/>
      <c r="C7" s="14"/>
      <c r="D7" s="14"/>
      <c r="E7" s="14"/>
      <c r="F7" s="14"/>
      <c r="G7" s="14"/>
      <c r="H7" s="7"/>
      <c r="I7" s="10"/>
      <c r="J7" s="10"/>
      <c r="K7" s="13"/>
      <c r="L7" s="13"/>
      <c r="M7" s="13"/>
      <c r="N7" s="13"/>
      <c r="O7" s="13"/>
      <c r="P7" s="13"/>
    </row>
    <row r="8" spans="1:16" ht="30" customHeight="1" x14ac:dyDescent="0.4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15" t="s">
        <v>1</v>
      </c>
      <c r="M8" s="10"/>
      <c r="N8" s="10"/>
      <c r="O8" s="10"/>
      <c r="P8" s="10"/>
    </row>
    <row r="9" spans="1:16" ht="18.75" x14ac:dyDescent="0.4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0"/>
      <c r="M9" s="10"/>
      <c r="N9" s="10"/>
      <c r="O9" s="10"/>
      <c r="P9" s="10"/>
    </row>
    <row r="10" spans="1:16" ht="18.75" x14ac:dyDescent="0.4">
      <c r="A10" s="16"/>
      <c r="B10" s="16"/>
      <c r="C10" s="16"/>
      <c r="D10" s="16"/>
      <c r="E10" s="16"/>
      <c r="F10" s="16"/>
      <c r="G10" s="16"/>
      <c r="H10" s="16"/>
      <c r="I10" s="16"/>
      <c r="J10" s="17" t="s">
        <v>12</v>
      </c>
      <c r="K10" s="16"/>
      <c r="L10" s="10"/>
      <c r="M10" s="10"/>
      <c r="N10" s="10"/>
      <c r="O10" s="10"/>
      <c r="P10" s="10"/>
    </row>
    <row r="11" spans="1:16" ht="18.75" x14ac:dyDescent="0.4">
      <c r="A11" s="16"/>
      <c r="B11" s="16"/>
      <c r="C11" s="16"/>
      <c r="D11" s="16"/>
      <c r="E11" s="16"/>
      <c r="F11" s="16"/>
      <c r="G11" s="16"/>
      <c r="H11" s="16"/>
      <c r="I11" s="16"/>
      <c r="J11" s="17" t="s">
        <v>16</v>
      </c>
      <c r="K11" s="16"/>
      <c r="L11" s="10"/>
      <c r="M11" s="10"/>
      <c r="N11" s="10"/>
      <c r="O11" s="10"/>
      <c r="P11" s="10"/>
    </row>
    <row r="12" spans="1:16" ht="18.75" x14ac:dyDescent="0.4">
      <c r="A12" s="16"/>
      <c r="B12" s="16"/>
      <c r="C12" s="16"/>
      <c r="D12" s="16"/>
      <c r="E12" s="16"/>
      <c r="F12" s="16"/>
      <c r="G12" s="16"/>
      <c r="H12" s="16"/>
      <c r="I12" s="16"/>
      <c r="J12" s="17" t="s">
        <v>14</v>
      </c>
      <c r="K12" s="16"/>
      <c r="L12" s="10"/>
      <c r="M12" s="10"/>
      <c r="N12" s="10"/>
      <c r="O12" s="10"/>
      <c r="P12" s="10"/>
    </row>
    <row r="13" spans="1:16" ht="18.75" x14ac:dyDescent="0.4">
      <c r="A13" s="16"/>
      <c r="B13" s="16"/>
      <c r="C13" s="16"/>
      <c r="D13" s="16"/>
      <c r="E13" s="16"/>
      <c r="F13" s="16"/>
      <c r="G13" s="16"/>
      <c r="H13" s="16"/>
      <c r="I13" s="16"/>
      <c r="J13" s="17" t="s">
        <v>13</v>
      </c>
      <c r="K13" s="16"/>
      <c r="L13" s="30" t="s">
        <v>15</v>
      </c>
      <c r="M13" s="30"/>
      <c r="N13" s="30"/>
      <c r="O13" s="30"/>
      <c r="P13" s="10"/>
    </row>
    <row r="14" spans="1:16" ht="18.75" x14ac:dyDescent="0.4">
      <c r="A14" s="16"/>
      <c r="B14" s="16"/>
      <c r="C14" s="16"/>
      <c r="D14" s="16"/>
      <c r="E14" s="16"/>
      <c r="F14" s="16"/>
      <c r="G14" s="16"/>
      <c r="H14" s="16"/>
      <c r="I14" s="16"/>
      <c r="J14" s="17"/>
      <c r="K14" s="16"/>
      <c r="L14" s="18"/>
      <c r="M14" s="18"/>
      <c r="N14" s="18"/>
      <c r="O14" s="18"/>
      <c r="P14" s="10"/>
    </row>
    <row r="15" spans="1:16" s="8" customFormat="1" ht="25.5" x14ac:dyDescent="0.4">
      <c r="A15" s="19"/>
      <c r="B15" s="20" t="s">
        <v>17</v>
      </c>
      <c r="C15" s="21"/>
      <c r="D15" s="21"/>
      <c r="E15" s="21"/>
      <c r="F15" s="21"/>
      <c r="G15" s="21"/>
      <c r="H15" s="21"/>
      <c r="I15" s="21"/>
      <c r="J15" s="39">
        <f>SUM(N18:O27)</f>
        <v>0</v>
      </c>
      <c r="K15" s="40"/>
      <c r="L15" s="40"/>
      <c r="M15" s="40"/>
      <c r="N15" s="40"/>
      <c r="O15" s="41"/>
      <c r="P15" s="22"/>
    </row>
    <row r="16" spans="1:16" ht="18.75" x14ac:dyDescent="0.4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</row>
    <row r="17" spans="1:16" ht="18.75" x14ac:dyDescent="0.4">
      <c r="A17" s="10"/>
      <c r="B17" s="36" t="s">
        <v>7</v>
      </c>
      <c r="C17" s="38"/>
      <c r="D17" s="36" t="s">
        <v>8</v>
      </c>
      <c r="E17" s="37"/>
      <c r="F17" s="37"/>
      <c r="G17" s="37"/>
      <c r="H17" s="37"/>
      <c r="I17" s="38"/>
      <c r="J17" s="36" t="s">
        <v>9</v>
      </c>
      <c r="K17" s="38"/>
      <c r="L17" s="36" t="s">
        <v>10</v>
      </c>
      <c r="M17" s="38"/>
      <c r="N17" s="36" t="s">
        <v>11</v>
      </c>
      <c r="O17" s="38"/>
      <c r="P17" s="10"/>
    </row>
    <row r="18" spans="1:16" ht="18.75" x14ac:dyDescent="0.4">
      <c r="A18" s="10"/>
      <c r="B18" s="42"/>
      <c r="C18" s="43"/>
      <c r="D18" s="42"/>
      <c r="E18" s="44"/>
      <c r="F18" s="44"/>
      <c r="G18" s="44"/>
      <c r="H18" s="44"/>
      <c r="I18" s="43"/>
      <c r="J18" s="42"/>
      <c r="K18" s="43"/>
      <c r="L18" s="42"/>
      <c r="M18" s="43"/>
      <c r="N18" s="33" t="str">
        <f>IF(B18="","",J18*L18)</f>
        <v/>
      </c>
      <c r="O18" s="34"/>
      <c r="P18" s="10"/>
    </row>
    <row r="19" spans="1:16" ht="18.75" x14ac:dyDescent="0.4">
      <c r="A19" s="10"/>
      <c r="B19" s="42"/>
      <c r="C19" s="43"/>
      <c r="D19" s="42"/>
      <c r="E19" s="44"/>
      <c r="F19" s="44"/>
      <c r="G19" s="44"/>
      <c r="H19" s="44"/>
      <c r="I19" s="43"/>
      <c r="J19" s="42"/>
      <c r="K19" s="43"/>
      <c r="L19" s="42"/>
      <c r="M19" s="43"/>
      <c r="N19" s="33" t="str">
        <f t="shared" ref="N19:N27" si="0">IF(B19="","",J19*L19)</f>
        <v/>
      </c>
      <c r="O19" s="34"/>
      <c r="P19" s="10"/>
    </row>
    <row r="20" spans="1:16" ht="18.75" x14ac:dyDescent="0.4">
      <c r="A20" s="10"/>
      <c r="B20" s="42"/>
      <c r="C20" s="43"/>
      <c r="D20" s="42"/>
      <c r="E20" s="44"/>
      <c r="F20" s="44"/>
      <c r="G20" s="44"/>
      <c r="H20" s="44"/>
      <c r="I20" s="43"/>
      <c r="J20" s="42"/>
      <c r="K20" s="43"/>
      <c r="L20" s="42"/>
      <c r="M20" s="43"/>
      <c r="N20" s="33" t="str">
        <f t="shared" si="0"/>
        <v/>
      </c>
      <c r="O20" s="34"/>
      <c r="P20" s="10"/>
    </row>
    <row r="21" spans="1:16" ht="18.75" x14ac:dyDescent="0.4">
      <c r="A21" s="10"/>
      <c r="B21" s="42"/>
      <c r="C21" s="43"/>
      <c r="D21" s="42"/>
      <c r="E21" s="44"/>
      <c r="F21" s="44"/>
      <c r="G21" s="44"/>
      <c r="H21" s="44"/>
      <c r="I21" s="43"/>
      <c r="J21" s="42"/>
      <c r="K21" s="43"/>
      <c r="L21" s="42"/>
      <c r="M21" s="43"/>
      <c r="N21" s="33" t="str">
        <f t="shared" si="0"/>
        <v/>
      </c>
      <c r="O21" s="34"/>
      <c r="P21" s="10"/>
    </row>
    <row r="22" spans="1:16" ht="18.75" x14ac:dyDescent="0.4">
      <c r="A22" s="10"/>
      <c r="B22" s="42"/>
      <c r="C22" s="43"/>
      <c r="D22" s="42"/>
      <c r="E22" s="44"/>
      <c r="F22" s="44"/>
      <c r="G22" s="44"/>
      <c r="H22" s="44"/>
      <c r="I22" s="43"/>
      <c r="J22" s="42"/>
      <c r="K22" s="43"/>
      <c r="L22" s="42"/>
      <c r="M22" s="43"/>
      <c r="N22" s="33" t="str">
        <f t="shared" si="0"/>
        <v/>
      </c>
      <c r="O22" s="34"/>
      <c r="P22" s="10"/>
    </row>
    <row r="23" spans="1:16" ht="18.75" x14ac:dyDescent="0.4">
      <c r="A23" s="10"/>
      <c r="B23" s="42"/>
      <c r="C23" s="43"/>
      <c r="D23" s="42"/>
      <c r="E23" s="44"/>
      <c r="F23" s="44"/>
      <c r="G23" s="44"/>
      <c r="H23" s="44"/>
      <c r="I23" s="43"/>
      <c r="J23" s="42"/>
      <c r="K23" s="43"/>
      <c r="L23" s="42"/>
      <c r="M23" s="43"/>
      <c r="N23" s="33" t="str">
        <f t="shared" si="0"/>
        <v/>
      </c>
      <c r="O23" s="34"/>
      <c r="P23" s="10"/>
    </row>
    <row r="24" spans="1:16" ht="18.75" x14ac:dyDescent="0.4">
      <c r="A24" s="10"/>
      <c r="B24" s="42"/>
      <c r="C24" s="43"/>
      <c r="D24" s="42"/>
      <c r="E24" s="44"/>
      <c r="F24" s="44"/>
      <c r="G24" s="44"/>
      <c r="H24" s="44"/>
      <c r="I24" s="43"/>
      <c r="J24" s="42"/>
      <c r="K24" s="43"/>
      <c r="L24" s="42"/>
      <c r="M24" s="43"/>
      <c r="N24" s="33" t="str">
        <f t="shared" si="0"/>
        <v/>
      </c>
      <c r="O24" s="34"/>
      <c r="P24" s="10"/>
    </row>
    <row r="25" spans="1:16" ht="18.75" x14ac:dyDescent="0.4">
      <c r="A25" s="10"/>
      <c r="B25" s="42"/>
      <c r="C25" s="43"/>
      <c r="D25" s="42"/>
      <c r="E25" s="44"/>
      <c r="F25" s="44"/>
      <c r="G25" s="44"/>
      <c r="H25" s="44"/>
      <c r="I25" s="43"/>
      <c r="J25" s="42"/>
      <c r="K25" s="43"/>
      <c r="L25" s="42"/>
      <c r="M25" s="43"/>
      <c r="N25" s="33" t="str">
        <f t="shared" si="0"/>
        <v/>
      </c>
      <c r="O25" s="34"/>
      <c r="P25" s="10"/>
    </row>
    <row r="26" spans="1:16" ht="18.75" x14ac:dyDescent="0.4">
      <c r="A26" s="10"/>
      <c r="B26" s="42"/>
      <c r="C26" s="43"/>
      <c r="D26" s="42"/>
      <c r="E26" s="44"/>
      <c r="F26" s="44"/>
      <c r="G26" s="44"/>
      <c r="H26" s="44"/>
      <c r="I26" s="43"/>
      <c r="J26" s="42"/>
      <c r="K26" s="43"/>
      <c r="L26" s="42"/>
      <c r="M26" s="43"/>
      <c r="N26" s="33" t="str">
        <f t="shared" si="0"/>
        <v/>
      </c>
      <c r="O26" s="34"/>
      <c r="P26" s="10"/>
    </row>
    <row r="27" spans="1:16" ht="18.75" x14ac:dyDescent="0.4">
      <c r="A27" s="10"/>
      <c r="B27" s="42"/>
      <c r="C27" s="43"/>
      <c r="D27" s="42"/>
      <c r="E27" s="44"/>
      <c r="F27" s="44"/>
      <c r="G27" s="44"/>
      <c r="H27" s="44"/>
      <c r="I27" s="43"/>
      <c r="J27" s="42"/>
      <c r="K27" s="43"/>
      <c r="L27" s="42"/>
      <c r="M27" s="43"/>
      <c r="N27" s="33" t="str">
        <f t="shared" si="0"/>
        <v/>
      </c>
      <c r="O27" s="34"/>
      <c r="P27" s="10"/>
    </row>
    <row r="28" spans="1:16" ht="18.75" x14ac:dyDescent="0.4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</row>
    <row r="29" spans="1:16" ht="18.75" x14ac:dyDescent="0.4">
      <c r="A29" s="13"/>
      <c r="B29" s="10" t="s">
        <v>4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3"/>
    </row>
    <row r="30" spans="1:16" ht="18.75" x14ac:dyDescent="0.4">
      <c r="A30" s="13"/>
      <c r="B30" s="45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7"/>
      <c r="P30" s="13"/>
    </row>
    <row r="31" spans="1:16" ht="18.75" x14ac:dyDescent="0.4">
      <c r="A31" s="13"/>
      <c r="B31" s="48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50"/>
      <c r="P31" s="13"/>
    </row>
    <row r="32" spans="1:16" ht="18.75" x14ac:dyDescent="0.4">
      <c r="A32" s="13"/>
      <c r="B32" s="48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50"/>
      <c r="P32" s="13"/>
    </row>
    <row r="33" spans="1:16" ht="18.75" x14ac:dyDescent="0.4">
      <c r="A33" s="13"/>
      <c r="B33" s="51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3"/>
      <c r="P33" s="13"/>
    </row>
    <row r="34" spans="1:16" ht="18.75" x14ac:dyDescent="0.4">
      <c r="B34" s="1" t="s">
        <v>55</v>
      </c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2"/>
    </row>
    <row r="35" spans="1:16" ht="18.75" x14ac:dyDescent="0.4">
      <c r="B35" s="1" t="s">
        <v>57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2"/>
    </row>
    <row r="36" spans="1:16" ht="18.75" x14ac:dyDescent="0.4">
      <c r="B36" s="1" t="s">
        <v>58</v>
      </c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2"/>
    </row>
    <row r="37" spans="1:16" ht="18.75" x14ac:dyDescent="0.4">
      <c r="B37" s="1" t="s">
        <v>59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3"/>
    </row>
    <row r="38" spans="1:16" ht="18.75" x14ac:dyDescent="0.4">
      <c r="B38" s="1" t="s">
        <v>56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3"/>
    </row>
    <row r="39" spans="1:16" ht="18.75" x14ac:dyDescent="0.4">
      <c r="B39" s="4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6"/>
    </row>
    <row r="40" spans="1:16" ht="18.75" x14ac:dyDescent="0.4"/>
    <row r="41" spans="1:16" ht="18.75" x14ac:dyDescent="0.4"/>
    <row r="42" spans="1:16" ht="18.75" x14ac:dyDescent="0.4"/>
    <row r="43" spans="1:16" ht="18.75" x14ac:dyDescent="0.4"/>
    <row r="44" spans="1:16" ht="18.75" x14ac:dyDescent="0.4"/>
    <row r="45" spans="1:16" ht="18.75" x14ac:dyDescent="0.4"/>
    <row r="46" spans="1:16" ht="18.75" x14ac:dyDescent="0.4"/>
  </sheetData>
  <mergeCells count="66">
    <mergeCell ref="B30:O33"/>
    <mergeCell ref="B25:C25"/>
    <mergeCell ref="D25:I25"/>
    <mergeCell ref="J25:K25"/>
    <mergeCell ref="L25:M25"/>
    <mergeCell ref="N25:O25"/>
    <mergeCell ref="B26:C26"/>
    <mergeCell ref="D26:I26"/>
    <mergeCell ref="J26:K26"/>
    <mergeCell ref="L26:M26"/>
    <mergeCell ref="N26:O26"/>
    <mergeCell ref="B27:C27"/>
    <mergeCell ref="D27:I27"/>
    <mergeCell ref="J27:K27"/>
    <mergeCell ref="L27:M27"/>
    <mergeCell ref="N27:O27"/>
    <mergeCell ref="N24:O24"/>
    <mergeCell ref="B23:C23"/>
    <mergeCell ref="D23:I23"/>
    <mergeCell ref="J23:K23"/>
    <mergeCell ref="L23:M23"/>
    <mergeCell ref="N23:O23"/>
    <mergeCell ref="B21:C21"/>
    <mergeCell ref="D21:I21"/>
    <mergeCell ref="J21:K21"/>
    <mergeCell ref="L21:M21"/>
    <mergeCell ref="B24:C24"/>
    <mergeCell ref="D24:I24"/>
    <mergeCell ref="J24:K24"/>
    <mergeCell ref="L24:M24"/>
    <mergeCell ref="B22:C22"/>
    <mergeCell ref="D22:I22"/>
    <mergeCell ref="J22:K22"/>
    <mergeCell ref="L22:M22"/>
    <mergeCell ref="N22:O22"/>
    <mergeCell ref="N21:O21"/>
    <mergeCell ref="B18:C18"/>
    <mergeCell ref="D18:I18"/>
    <mergeCell ref="J18:K18"/>
    <mergeCell ref="L18:M18"/>
    <mergeCell ref="N18:O18"/>
    <mergeCell ref="B19:C19"/>
    <mergeCell ref="D19:I19"/>
    <mergeCell ref="J19:K19"/>
    <mergeCell ref="L19:M19"/>
    <mergeCell ref="N19:O19"/>
    <mergeCell ref="B20:C20"/>
    <mergeCell ref="D20:I20"/>
    <mergeCell ref="J20:K20"/>
    <mergeCell ref="L20:M20"/>
    <mergeCell ref="N20:O20"/>
    <mergeCell ref="A8:K8"/>
    <mergeCell ref="D17:I17"/>
    <mergeCell ref="B17:C17"/>
    <mergeCell ref="J17:K17"/>
    <mergeCell ref="L17:M17"/>
    <mergeCell ref="L13:O13"/>
    <mergeCell ref="J15:O15"/>
    <mergeCell ref="N17:O17"/>
    <mergeCell ref="F2:K2"/>
    <mergeCell ref="M6:P6"/>
    <mergeCell ref="M4:P4"/>
    <mergeCell ref="K4:L4"/>
    <mergeCell ref="K6:L6"/>
    <mergeCell ref="M5:P5"/>
    <mergeCell ref="F4:J6"/>
  </mergeCells>
  <phoneticPr fontId="2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作成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16</xdr:col>
                    <xdr:colOff>9525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E18E4-9FCE-43F7-8BFF-2D2D68640595}">
  <sheetPr codeName="Sheet6"/>
  <dimension ref="A1:J15"/>
  <sheetViews>
    <sheetView workbookViewId="0"/>
  </sheetViews>
  <sheetFormatPr defaultRowHeight="18.75" x14ac:dyDescent="0.4"/>
  <sheetData>
    <row r="1" spans="1:10" ht="33" x14ac:dyDescent="0.4">
      <c r="A1" s="23" t="s">
        <v>19</v>
      </c>
      <c r="B1" s="24"/>
      <c r="C1" s="24"/>
      <c r="D1" s="24"/>
      <c r="E1" s="24"/>
      <c r="F1" s="24"/>
      <c r="G1" s="24"/>
      <c r="H1" s="24"/>
      <c r="I1" s="24"/>
      <c r="J1" s="24"/>
    </row>
    <row r="2" spans="1:10" x14ac:dyDescent="0.4">
      <c r="A2" t="s">
        <v>54</v>
      </c>
      <c r="C2" t="s">
        <v>23</v>
      </c>
    </row>
    <row r="3" spans="1:10" x14ac:dyDescent="0.4">
      <c r="A3" t="s">
        <v>81</v>
      </c>
      <c r="C3">
        <v>0</v>
      </c>
    </row>
    <row r="4" spans="1:10" x14ac:dyDescent="0.4">
      <c r="A4">
        <v>9</v>
      </c>
    </row>
    <row r="5" spans="1:10" x14ac:dyDescent="0.4">
      <c r="A5" t="s">
        <v>45</v>
      </c>
      <c r="B5" t="s">
        <v>45</v>
      </c>
      <c r="C5" t="s">
        <v>45</v>
      </c>
      <c r="D5" t="s">
        <v>45</v>
      </c>
      <c r="E5" t="s">
        <v>46</v>
      </c>
      <c r="F5" t="s">
        <v>60</v>
      </c>
      <c r="G5" t="s">
        <v>60</v>
      </c>
      <c r="H5" t="s">
        <v>46</v>
      </c>
      <c r="I5" t="s">
        <v>46</v>
      </c>
    </row>
    <row r="6" spans="1:10" x14ac:dyDescent="0.4">
      <c r="A6" t="s">
        <v>49</v>
      </c>
      <c r="B6" t="s">
        <v>48</v>
      </c>
      <c r="C6" t="s">
        <v>49</v>
      </c>
      <c r="D6" t="s">
        <v>48</v>
      </c>
      <c r="E6" t="s">
        <v>48</v>
      </c>
      <c r="F6" t="s">
        <v>49</v>
      </c>
      <c r="G6" t="s">
        <v>49</v>
      </c>
      <c r="H6" t="s">
        <v>49</v>
      </c>
      <c r="I6" t="s">
        <v>49</v>
      </c>
    </row>
    <row r="7" spans="1:10" x14ac:dyDescent="0.4">
      <c r="A7" t="s">
        <v>48</v>
      </c>
      <c r="B7" t="s">
        <v>48</v>
      </c>
      <c r="C7" t="s">
        <v>49</v>
      </c>
      <c r="D7" t="s">
        <v>49</v>
      </c>
      <c r="E7" t="s">
        <v>49</v>
      </c>
      <c r="F7" t="s">
        <v>49</v>
      </c>
      <c r="G7" t="s">
        <v>49</v>
      </c>
      <c r="H7" t="s">
        <v>49</v>
      </c>
      <c r="I7" t="s">
        <v>49</v>
      </c>
    </row>
    <row r="8" spans="1:10" x14ac:dyDescent="0.4">
      <c r="A8" s="9" t="s">
        <v>61</v>
      </c>
      <c r="B8" s="9" t="s">
        <v>62</v>
      </c>
      <c r="C8" s="9" t="s">
        <v>25</v>
      </c>
      <c r="D8" s="9" t="s">
        <v>26</v>
      </c>
      <c r="E8" s="9" t="s">
        <v>63</v>
      </c>
      <c r="F8" s="9" t="s">
        <v>64</v>
      </c>
      <c r="G8" s="9" t="s">
        <v>65</v>
      </c>
      <c r="H8" s="9" t="s">
        <v>66</v>
      </c>
      <c r="I8" s="9" t="s">
        <v>67</v>
      </c>
    </row>
    <row r="9" spans="1:10" x14ac:dyDescent="0.4">
      <c r="A9" s="9">
        <v>3</v>
      </c>
      <c r="B9" s="9">
        <v>1588848</v>
      </c>
      <c r="C9" s="9">
        <v>2</v>
      </c>
      <c r="D9" s="9">
        <v>714</v>
      </c>
      <c r="E9" s="9" t="s">
        <v>42</v>
      </c>
      <c r="F9" s="9">
        <v>2</v>
      </c>
      <c r="G9" s="9">
        <v>30000</v>
      </c>
      <c r="H9" s="9" t="s">
        <v>40</v>
      </c>
      <c r="I9" s="9" t="s">
        <v>41</v>
      </c>
    </row>
    <row r="10" spans="1:10" x14ac:dyDescent="0.4">
      <c r="A10" s="9">
        <v>2</v>
      </c>
      <c r="B10" s="9">
        <v>1588845</v>
      </c>
      <c r="C10" s="9">
        <v>1</v>
      </c>
      <c r="D10" s="9">
        <v>714</v>
      </c>
      <c r="E10" s="9" t="s">
        <v>74</v>
      </c>
      <c r="F10" s="9">
        <v>1</v>
      </c>
      <c r="G10" s="9">
        <v>50000</v>
      </c>
      <c r="H10" s="9" t="s">
        <v>75</v>
      </c>
      <c r="I10" s="9" t="s">
        <v>76</v>
      </c>
    </row>
    <row r="11" spans="1:10" x14ac:dyDescent="0.4">
      <c r="A11" s="9">
        <v>2</v>
      </c>
      <c r="B11" s="9">
        <v>1588846</v>
      </c>
      <c r="C11" s="9">
        <v>1</v>
      </c>
      <c r="D11" s="9">
        <v>714</v>
      </c>
      <c r="E11" s="9" t="s">
        <v>74</v>
      </c>
      <c r="F11" s="9">
        <v>1</v>
      </c>
      <c r="G11" s="9">
        <v>50000</v>
      </c>
      <c r="H11" s="9" t="s">
        <v>77</v>
      </c>
      <c r="I11" s="9" t="s">
        <v>78</v>
      </c>
    </row>
    <row r="12" spans="1:10" x14ac:dyDescent="0.4">
      <c r="A12" s="9">
        <v>1</v>
      </c>
      <c r="B12" s="9">
        <v>1588815</v>
      </c>
      <c r="C12" s="9">
        <v>4</v>
      </c>
      <c r="D12" s="9">
        <v>714</v>
      </c>
      <c r="E12" s="9" t="s">
        <v>39</v>
      </c>
      <c r="F12" s="9">
        <v>3</v>
      </c>
      <c r="G12" s="9">
        <v>30000</v>
      </c>
      <c r="H12" s="9" t="s">
        <v>40</v>
      </c>
      <c r="I12" s="9" t="s">
        <v>41</v>
      </c>
    </row>
    <row r="13" spans="1:10" x14ac:dyDescent="0.4">
      <c r="A13" s="9">
        <v>1</v>
      </c>
      <c r="B13" s="9">
        <v>1588822</v>
      </c>
      <c r="C13" s="9">
        <v>4</v>
      </c>
      <c r="D13" s="9">
        <v>714</v>
      </c>
      <c r="E13" s="9" t="s">
        <v>42</v>
      </c>
      <c r="F13" s="9">
        <v>2</v>
      </c>
      <c r="G13" s="9">
        <v>30000</v>
      </c>
      <c r="H13" s="9" t="s">
        <v>43</v>
      </c>
      <c r="I13" s="9" t="s">
        <v>44</v>
      </c>
    </row>
    <row r="14" spans="1:10" x14ac:dyDescent="0.4">
      <c r="A14" s="9">
        <v>1</v>
      </c>
      <c r="B14" s="9">
        <v>1588842</v>
      </c>
      <c r="C14" s="9">
        <v>4</v>
      </c>
      <c r="D14" s="9">
        <v>714</v>
      </c>
      <c r="E14" s="9" t="s">
        <v>74</v>
      </c>
      <c r="F14" s="9">
        <v>1</v>
      </c>
      <c r="G14" s="9">
        <v>50000</v>
      </c>
      <c r="H14" s="9" t="s">
        <v>79</v>
      </c>
      <c r="I14" s="9" t="s">
        <v>80</v>
      </c>
    </row>
    <row r="15" spans="1:10" x14ac:dyDescent="0.4">
      <c r="A15" s="9">
        <v>1</v>
      </c>
      <c r="B15" s="9">
        <v>1588843</v>
      </c>
      <c r="C15" s="9">
        <v>4</v>
      </c>
      <c r="D15" s="9">
        <v>714</v>
      </c>
      <c r="E15" s="9" t="s">
        <v>74</v>
      </c>
      <c r="F15" s="9">
        <v>1</v>
      </c>
      <c r="G15" s="9">
        <v>50000</v>
      </c>
      <c r="H15" s="9" t="s">
        <v>77</v>
      </c>
      <c r="I15" s="9" t="s">
        <v>78</v>
      </c>
    </row>
  </sheetData>
  <mergeCells count="1">
    <mergeCell ref="A1:J1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CDATACONNECTION</vt:lpstr>
      <vt:lpstr>CDATAWORKSHEETCDATA0</vt:lpstr>
      <vt:lpstr>テンプレート_Macro</vt:lpstr>
      <vt:lpstr>CDATAWORKSHEETCDATA1</vt:lpstr>
      <vt:lpstr>テンプレート_Macro!Print_Area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kuwazzy</dc:creator>
  <cp:lastModifiedBy>kuwazzy</cp:lastModifiedBy>
  <cp:lastPrinted>2019-11-27T14:47:22Z</cp:lastPrinted>
  <dcterms:created xsi:type="dcterms:W3CDTF">2019-11-27T12:29:01Z</dcterms:created>
  <dcterms:modified xsi:type="dcterms:W3CDTF">2019-12-06T23:27:13Z</dcterms:modified>
</cp:coreProperties>
</file>